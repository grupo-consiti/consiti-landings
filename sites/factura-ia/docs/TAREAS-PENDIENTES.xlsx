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area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Legal" sheetId="4" state="visible" r:id="rId4"/>
    <sheet xmlns:r="http://schemas.openxmlformats.org/officeDocument/2006/relationships" name="Avances" sheetId="5" state="visible" r:id="rId5"/>
  </sheets>
  <definedNames>
    <definedName name="_xlnm._FilterDatabase" localSheetId="1" hidden="1">'Tareas'!$A$1:$H$21</definedName>
    <definedName name="_xlnm._FilterDatabase" localSheetId="3" hidden="1">'Legal'!$A$1:$D$18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40A2E"/>
      <sz val="16"/>
    </font>
    <font>
      <name val="Arial"/>
      <color rgb="00544D6B"/>
      <sz val="10"/>
    </font>
    <font>
      <name val="Arial"/>
      <b val="1"/>
      <sz val="11"/>
    </font>
    <font>
      <name val="Arial"/>
      <sz val="10"/>
    </font>
    <font>
      <name val="Arial"/>
      <b val="1"/>
      <color rgb="00C2410C"/>
      <sz val="12"/>
    </font>
    <font>
      <name val="Arial"/>
      <b val="1"/>
      <sz val="10"/>
    </font>
    <font>
      <name val="Arial"/>
      <b val="1"/>
      <color rgb="00C2410C"/>
      <sz val="11"/>
    </font>
    <font>
      <name val="Arial"/>
      <b val="1"/>
      <color rgb="00FFFFFF"/>
      <sz val="10"/>
    </font>
    <font>
      <name val="Arial"/>
      <b val="1"/>
      <color rgb="00B45309"/>
      <sz val="10"/>
    </font>
    <font>
      <name val="Arial"/>
      <b val="1"/>
      <color rgb="00C2410C"/>
      <sz val="10"/>
    </font>
  </fonts>
  <fills count="4">
    <fill>
      <patternFill/>
    </fill>
    <fill>
      <patternFill patternType="gray125"/>
    </fill>
    <fill>
      <patternFill patternType="solid">
        <fgColor rgb="005216E7"/>
      </patternFill>
    </fill>
    <fill>
      <patternFill patternType="solid">
        <fgColor rgb="00F4F4F5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62" customWidth="1" min="1" max="1"/>
    <col width="4" customWidth="1" min="2" max="2"/>
    <col width="12" customWidth="1" min="3" max="3"/>
  </cols>
  <sheetData>
    <row r="1">
      <c r="A1" s="1" t="inlineStr">
        <is>
          <t>Landing de Factu IA — Estado del proyecto</t>
        </is>
      </c>
    </row>
    <row r="2">
      <c r="A2" s="2" t="inlineStr">
        <is>
          <t>Grupo Consiti S.A. de C.V.  ·  Corte al 10 de agosto de 2026</t>
        </is>
      </c>
    </row>
    <row r="4">
      <c r="A4" s="3" t="inlineStr">
        <is>
          <t>Plazo del Ministerio de Hacienda para la Normativa DTE 2.0</t>
        </is>
      </c>
    </row>
    <row r="5">
      <c r="A5" s="2" t="inlineStr">
        <is>
          <t>1 de diciembre de 2026. Los sistemas que no se adapten empiezan a recibir rechazos.</t>
        </is>
      </c>
    </row>
    <row r="6">
      <c r="A6" s="4" t="inlineStr">
        <is>
          <t>Dias restantes desde el corte</t>
        </is>
      </c>
      <c r="C6" s="5">
        <f>DATE(2026,12,1)-DATE(2026,8,10)</f>
        <v/>
      </c>
    </row>
    <row r="8">
      <c r="A8" s="3" t="inlineStr">
        <is>
          <t>Conteo por estado</t>
        </is>
      </c>
    </row>
    <row r="9">
      <c r="A9" s="4" t="inlineStr">
        <is>
          <t>Pendiente</t>
        </is>
      </c>
      <c r="C9" s="6">
        <f>COUNTIF(Tareas!$G:$G,A9)</f>
        <v/>
      </c>
    </row>
    <row r="10">
      <c r="A10" s="4" t="inlineStr">
        <is>
          <t>En pausa</t>
        </is>
      </c>
      <c r="C10" s="6">
        <f>COUNTIF(Tareas!$G:$G,A10)</f>
        <v/>
      </c>
    </row>
    <row r="11">
      <c r="A11" s="4" t="inlineStr">
        <is>
          <t>Bloqueado por terceros</t>
        </is>
      </c>
      <c r="C11" s="6">
        <f>COUNTIF(Tareas!$G:$G,A11)</f>
        <v/>
      </c>
    </row>
    <row r="12">
      <c r="A12" s="4" t="inlineStr">
        <is>
          <t>Hecho</t>
        </is>
      </c>
      <c r="C12" s="6">
        <f>COUNTIF(Tareas!$G:$G,A12)</f>
        <v/>
      </c>
    </row>
    <row r="13">
      <c r="A13" s="6" t="inlineStr">
        <is>
          <t>TOTAL</t>
        </is>
      </c>
      <c r="C13" s="6">
        <f>SUM(C9:C12)</f>
        <v/>
      </c>
    </row>
    <row r="15">
      <c r="A15" s="3" t="inlineStr">
        <is>
          <t>Conteo por area</t>
        </is>
      </c>
    </row>
    <row r="16">
      <c r="A16" s="4" t="inlineStr">
        <is>
          <t>Bug</t>
        </is>
      </c>
      <c r="C16" s="6">
        <f>COUNTIF(Tareas!$B:$B,A16)</f>
        <v/>
      </c>
    </row>
    <row r="17">
      <c r="A17" s="4" t="inlineStr">
        <is>
          <t>Asset</t>
        </is>
      </c>
      <c r="C17" s="6">
        <f>COUNTIF(Tareas!$B:$B,A17)</f>
        <v/>
      </c>
    </row>
    <row r="18">
      <c r="A18" s="4" t="inlineStr">
        <is>
          <t>Analitica</t>
        </is>
      </c>
      <c r="C18" s="6">
        <f>COUNTIF(Tareas!$B:$B,A18)</f>
        <v/>
      </c>
    </row>
    <row r="19">
      <c r="A19" s="4" t="inlineStr">
        <is>
          <t>Legal</t>
        </is>
      </c>
      <c r="C19" s="6">
        <f>COUNTIF(Tareas!$B:$B,A19)</f>
        <v/>
      </c>
    </row>
    <row r="20">
      <c r="A20" s="4" t="inlineStr">
        <is>
          <t>Infraestructura</t>
        </is>
      </c>
      <c r="C20" s="6">
        <f>COUNTIF(Tareas!$B:$B,A20)</f>
        <v/>
      </c>
    </row>
    <row r="21">
      <c r="A21" s="4" t="inlineStr">
        <is>
          <t>Gestion</t>
        </is>
      </c>
      <c r="C21" s="6">
        <f>COUNTIF(Tareas!$B:$B,A21)</f>
        <v/>
      </c>
    </row>
    <row r="23">
      <c r="A23" s="7" t="inlineStr">
        <is>
          <t>Tareas que bloquean la publicacion</t>
        </is>
      </c>
      <c r="C23" s="8">
        <f>COUNTIF(Tareas!$F:$F,"Bloqueante")</f>
        <v/>
      </c>
    </row>
    <row r="25">
      <c r="A25" s="3" t="inlineStr">
        <is>
          <t>Como leer este archivo</t>
        </is>
      </c>
    </row>
    <row r="26">
      <c r="A26" s="2" t="inlineStr">
        <is>
          <t>Tareas: todo lo que falta, con responsable y estado. Es la hoja de trabajo.</t>
        </is>
      </c>
    </row>
    <row r="27">
      <c r="A27" s="2" t="inlineStr">
        <is>
          <t>Assets: los 9 assets del brief de diseno y en que quedo cada uno.</t>
        </is>
      </c>
    </row>
    <row r="28">
      <c r="A28" s="2" t="inlineStr">
        <is>
          <t>Legal: los 17 puntos de contenido legal sin resolver, por pagina y responsable.</t>
        </is>
      </c>
    </row>
    <row r="29">
      <c r="A29" s="2" t="inlineStr">
        <is>
          <t>Avances: lo entregado hasta hoy. Sirve de base para el informe a Rafael.</t>
        </is>
      </c>
    </row>
    <row r="30">
      <c r="A30" s="2" t="inlineStr"/>
    </row>
    <row r="31">
      <c r="A31" s="2" t="inlineStr">
        <is>
          <t>Las celdas de la columna Estado se eligen de una lista. Al cambiarlas,</t>
        </is>
      </c>
    </row>
    <row r="32">
      <c r="A32" s="2" t="inlineStr">
        <is>
          <t>los conteos de esta hoja se actualizan solos.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42" customWidth="1" min="3" max="3"/>
    <col width="74" customWidth="1" min="4" max="4"/>
    <col width="18" customWidth="1" min="5" max="5"/>
    <col width="13" customWidth="1" min="6" max="6"/>
    <col width="22" customWidth="1" min="7" max="7"/>
    <col width="40" customWidth="1" min="8" max="8"/>
  </cols>
  <sheetData>
    <row r="1" ht="28" customHeight="1">
      <c r="A1" s="9" t="inlineStr">
        <is>
          <t>ID</t>
        </is>
      </c>
      <c r="B1" s="9" t="inlineStr">
        <is>
          <t>Area</t>
        </is>
      </c>
      <c r="C1" s="9" t="inlineStr">
        <is>
          <t>Tarea</t>
        </is>
      </c>
      <c r="D1" s="9" t="inlineStr">
        <is>
          <t>Detalle</t>
        </is>
      </c>
      <c r="E1" s="9" t="inlineStr">
        <is>
          <t>Responsable</t>
        </is>
      </c>
      <c r="F1" s="9" t="inlineStr">
        <is>
          <t>Prioridad</t>
        </is>
      </c>
      <c r="G1" s="9" t="inlineStr">
        <is>
          <t>Estado</t>
        </is>
      </c>
      <c r="H1" s="9" t="inlineStr">
        <is>
          <t>Notas</t>
        </is>
      </c>
    </row>
    <row r="2" ht="58" customHeight="1">
      <c r="A2" s="10" t="inlineStr">
        <is>
          <t>B-01</t>
        </is>
      </c>
      <c r="B2" s="10" t="inlineStr">
        <is>
          <t>Bug</t>
        </is>
      </c>
      <c r="C2" s="10" t="inlineStr">
        <is>
          <t>CTA secundario del hero invisible</t>
        </is>
      </c>
      <c r="D2" s="10" t="inlineStr">
        <is>
          <t>El boton 'Ver como se ve el sistema' solo se distingue al pasar el mouse. Sobre fondo oscuro el contorno y el texto morado quedan por debajo del contraste minimo.</t>
        </is>
      </c>
      <c r="E2" s="10" t="inlineStr">
        <is>
          <t>Claude</t>
        </is>
      </c>
      <c r="F2" s="11" t="inlineStr">
        <is>
          <t>Alta</t>
        </is>
      </c>
      <c r="G2" s="10" t="inlineStr">
        <is>
          <t>Pendiente</t>
        </is>
      </c>
      <c r="H2" s="10" t="inlineStr">
        <is>
          <t>Reportado por Briant el 10/08</t>
        </is>
      </c>
    </row>
    <row r="3" ht="58" customHeight="1">
      <c r="A3" s="12" t="inlineStr">
        <is>
          <t>B-02</t>
        </is>
      </c>
      <c r="B3" s="12" t="inlineStr">
        <is>
          <t>Bug</t>
        </is>
      </c>
      <c r="C3" s="12" t="inlineStr">
        <is>
          <t>Starter no lleva anexos ni libros de IVA</t>
        </is>
      </c>
      <c r="D3" s="12" t="inlineStr">
        <is>
          <t>La calculadora describe el plan Starter como 'con anexos de IVA y libros en PDF'. Briant confirma que Starter NO los incluye. Hay que revisar tambien la tabla comparativa por si repite el error.</t>
        </is>
      </c>
      <c r="E3" s="12" t="inlineStr">
        <is>
          <t>Claude</t>
        </is>
      </c>
      <c r="F3" s="13" t="inlineStr">
        <is>
          <t>Bloqueante</t>
        </is>
      </c>
      <c r="G3" s="12" t="inlineStr">
        <is>
          <t>Pendiente</t>
        </is>
      </c>
      <c r="H3" s="12" t="inlineStr">
        <is>
          <t>Es una promesa comercial incorrecta: se vende algo que el plan no da</t>
        </is>
      </c>
    </row>
    <row r="4" ht="58" customHeight="1">
      <c r="A4" s="10" t="inlineStr">
        <is>
          <t>B-03</t>
        </is>
      </c>
      <c r="B4" s="10" t="inlineStr">
        <is>
          <t>Bug</t>
        </is>
      </c>
      <c r="C4" s="10" t="inlineStr">
        <is>
          <t>Quitar el feed de DTE en tiempo real</t>
        </is>
      </c>
      <c r="D4" s="10" t="inlineStr">
        <is>
          <t>La seccion 'Facturacion en vivo' muestra datos simulados con etiqueta 'Vista de ejemplo'. Se retira. El deck ya la senalaba como el metro cuadrado peor invertido.</t>
        </is>
      </c>
      <c r="E4" s="10" t="inlineStr">
        <is>
          <t>Claude</t>
        </is>
      </c>
      <c r="F4" s="11" t="inlineStr">
        <is>
          <t>Alta</t>
        </is>
      </c>
      <c r="G4" s="10" t="inlineStr">
        <is>
          <t>Pendiente</t>
        </is>
      </c>
      <c r="H4" s="10" t="inlineStr">
        <is>
          <t>Decision de Briant el 10/08</t>
        </is>
      </c>
    </row>
    <row r="5" ht="58" customHeight="1">
      <c r="A5" s="12" t="inlineStr">
        <is>
          <t>B-04</t>
        </is>
      </c>
      <c r="B5" s="12" t="inlineStr">
        <is>
          <t>Bug</t>
        </is>
      </c>
      <c r="C5" s="12" t="inlineStr">
        <is>
          <t>Logo del footer descuadrado</t>
        </is>
      </c>
      <c r="D5" s="12" t="inlineStr">
        <is>
          <t>El logotipo de Factu IA se desalinea respecto a las columnas del pie.</t>
        </is>
      </c>
      <c r="E5" s="12" t="inlineStr">
        <is>
          <t>Claude</t>
        </is>
      </c>
      <c r="F5" s="12" t="inlineStr">
        <is>
          <t>Media</t>
        </is>
      </c>
      <c r="G5" s="12" t="inlineStr">
        <is>
          <t>Pendiente</t>
        </is>
      </c>
      <c r="H5" s="12" t="inlineStr">
        <is>
          <t>Reportado por Briant el 10/08</t>
        </is>
      </c>
    </row>
    <row r="6" ht="58" customHeight="1">
      <c r="A6" s="10" t="inlineStr">
        <is>
          <t>A-06</t>
        </is>
      </c>
      <c r="B6" s="10" t="inlineStr">
        <is>
          <t>Asset</t>
        </is>
      </c>
      <c r="C6" s="10" t="inlineStr">
        <is>
          <t>Asset 06 · Selector multi-empresa</t>
        </is>
      </c>
      <c r="D6" s="10" t="inlineStr">
        <is>
          <t>Captura de la vista del contador con su lista de empresas y el cambio entre una y otra. Idealmente mostrando la descarga de anexos de todas a la vez. Nombres de empresa inventados. 1200x900.</t>
        </is>
      </c>
      <c r="E6" s="10" t="inlineStr">
        <is>
          <t>Briant</t>
        </is>
      </c>
      <c r="F6" s="11" t="inlineStr">
        <is>
          <t>Alta</t>
        </is>
      </c>
      <c r="G6" s="10" t="inlineStr">
        <is>
          <t>En pausa</t>
        </is>
      </c>
      <c r="H6" s="10" t="inlineStr">
        <is>
          <t>La funcion existe (confirmado 10/08), asi que aplica el asset normal y no el reemplazo por foto del equipo</t>
        </is>
      </c>
    </row>
    <row r="7" ht="58" customHeight="1">
      <c r="A7" s="12" t="inlineStr">
        <is>
          <t>A-07</t>
        </is>
      </c>
      <c r="B7" s="12" t="inlineStr">
        <is>
          <t>Asset</t>
        </is>
      </c>
      <c r="C7" s="12" t="inlineStr">
        <is>
          <t>Asset 07 · Testimonio de quien se cambio de proveedor</t>
        </is>
      </c>
      <c r="D7" s="12" t="inlineStr">
        <is>
          <t>Foto real 400x400 con cara visible, nombre completo, cargo, empresa, municipio y consentimiento POR ESCRITO. La frase debe mencionar que venia de otro sistema.</t>
        </is>
      </c>
      <c r="E7" s="12" t="inlineStr">
        <is>
          <t>Comercial</t>
        </is>
      </c>
      <c r="F7" s="13" t="inlineStr">
        <is>
          <t>Bloqueante</t>
        </is>
      </c>
      <c r="G7" s="12" t="inlineStr">
        <is>
          <t>En pausa</t>
        </is>
      </c>
      <c r="H7" s="12" t="inlineStr">
        <is>
          <t>El deck lo marca como bloqueante de lanzamiento. Sostiene el argumento de toda la pagina</t>
        </is>
      </c>
    </row>
    <row r="8" ht="58" customHeight="1">
      <c r="A8" s="10" t="inlineStr">
        <is>
          <t>A-08</t>
        </is>
      </c>
      <c r="B8" s="10" t="inlineStr">
        <is>
          <t>Asset</t>
        </is>
      </c>
      <c r="C8" s="10" t="inlineStr">
        <is>
          <t>Asset 08 · Testimonio de contador o despacho</t>
        </is>
      </c>
      <c r="D8" s="10" t="inlineStr">
        <is>
          <t>Foto real 400x400, nombre, despacho, cuantas empresas maneja, consentimiento por escrito. Que hable de anexos o cierre mensual.</t>
        </is>
      </c>
      <c r="E8" s="10" t="inlineStr">
        <is>
          <t>Comercial</t>
        </is>
      </c>
      <c r="F8" s="11" t="inlineStr">
        <is>
          <t>Alta</t>
        </is>
      </c>
      <c r="G8" s="10" t="inlineStr">
        <is>
          <t>En pausa</t>
        </is>
      </c>
      <c r="H8" s="10" t="inlineStr"/>
    </row>
    <row r="9" ht="58" customHeight="1">
      <c r="A9" s="12" t="inlineStr">
        <is>
          <t>A-09</t>
        </is>
      </c>
      <c r="B9" s="12" t="inlineStr">
        <is>
          <t>Asset</t>
        </is>
      </c>
      <c r="C9" s="12" t="inlineStr">
        <is>
          <t>Asset 09 · Testimonio de dueno de PyME</t>
        </is>
      </c>
      <c r="D9" s="12" t="inlineStr">
        <is>
          <t>Foto real 400x400, nombre, negocio, municipio, consentimiento por escrito. Que hable de lo facil que fue empezar.</t>
        </is>
      </c>
      <c r="E9" s="12" t="inlineStr">
        <is>
          <t>Comercial</t>
        </is>
      </c>
      <c r="F9" s="12" t="inlineStr">
        <is>
          <t>Media</t>
        </is>
      </c>
      <c r="G9" s="12" t="inlineStr">
        <is>
          <t>En pausa</t>
        </is>
      </c>
      <c r="H9" s="12" t="inlineStr"/>
    </row>
    <row r="10" ht="58" customHeight="1">
      <c r="A10" s="10" t="inlineStr">
        <is>
          <t>A-10</t>
        </is>
      </c>
      <c r="B10" s="10" t="inlineStr">
        <is>
          <t>Asset</t>
        </is>
      </c>
      <c r="C10" s="10" t="inlineStr">
        <is>
          <t>og:image 1200x630</t>
        </is>
      </c>
      <c r="D10" s="10" t="inlineStr">
        <is>
          <t>Falta el archivo assets/og-factuia.jpg que referencia el og:image del index. Hoy, compartir el enlace por WhatsApp o Facebook no muestra imagen de vista previa.</t>
        </is>
      </c>
      <c r="E10" s="10" t="inlineStr">
        <is>
          <t>Claude</t>
        </is>
      </c>
      <c r="F10" s="11" t="inlineStr">
        <is>
          <t>Alta</t>
        </is>
      </c>
      <c r="G10" s="10" t="inlineStr">
        <is>
          <t>En pausa</t>
        </is>
      </c>
      <c r="H10" s="10" t="inlineStr">
        <is>
          <t>Pesa mas de lo que parece: la landing corre con Meta Ads</t>
        </is>
      </c>
    </row>
    <row r="11" ht="58" customHeight="1">
      <c r="A11" s="12" t="inlineStr">
        <is>
          <t>AN-01</t>
        </is>
      </c>
      <c r="B11" s="12" t="inlineStr">
        <is>
          <t>Analitica</t>
        </is>
      </c>
      <c r="C11" s="12" t="inlineStr">
        <is>
          <t>Verificar el Pixel ID de Meta</t>
        </is>
      </c>
      <c r="D11" s="12" t="inlineStr">
        <is>
          <t>El Pixel se inicializa con 27890392917235121. Ese mismo numero aparece en api/capi.js escrito como 'ej.', es decir como ejemplo. Confirmar en Administrador de eventos de Meta.</t>
        </is>
      </c>
      <c r="E11" s="12" t="inlineStr">
        <is>
          <t>Briant</t>
        </is>
      </c>
      <c r="F11" s="13" t="inlineStr">
        <is>
          <t>Bloqueante</t>
        </is>
      </c>
      <c r="G11" s="12" t="inlineStr">
        <is>
          <t>En pausa</t>
        </is>
      </c>
      <c r="H11" s="12" t="inlineStr">
        <is>
          <t>Si el ID no es el correcto, desde el 21/07 los eventos van al vacio o a otro pixel</t>
        </is>
      </c>
    </row>
    <row r="12" ht="58" customHeight="1">
      <c r="A12" s="10" t="inlineStr">
        <is>
          <t>AN-02</t>
        </is>
      </c>
      <c r="B12" s="10" t="inlineStr">
        <is>
          <t>Analitica</t>
        </is>
      </c>
      <c r="C12" s="10" t="inlineStr">
        <is>
          <t>Crear propiedad GA4 y pegar el Measurement ID</t>
        </is>
      </c>
      <c r="D12" s="10" t="inlineStr">
        <is>
          <t>Crear la propiedad en analytics.google.com, sacar el Measurement ID del flujo web (G-XXXXXXXXXX) y pegarlo en la constante GA4_ID del head de index.html. El codigo ya esta instalado y probado.</t>
        </is>
      </c>
      <c r="E12" s="10" t="inlineStr">
        <is>
          <t>Briant</t>
        </is>
      </c>
      <c r="F12" s="11" t="inlineStr">
        <is>
          <t>Alta</t>
        </is>
      </c>
      <c r="G12" s="10" t="inlineStr">
        <is>
          <t>En pausa</t>
        </is>
      </c>
      <c r="H12" s="10" t="inlineStr">
        <is>
          <t>El Measurement ID no es secreto: va en el HTML publico</t>
        </is>
      </c>
    </row>
    <row r="13" ht="58" customHeight="1">
      <c r="A13" s="12" t="inlineStr">
        <is>
          <t>AN-03</t>
        </is>
      </c>
      <c r="B13" s="12" t="inlineStr">
        <is>
          <t>Analitica</t>
        </is>
      </c>
      <c r="C13" s="12" t="inlineStr">
        <is>
          <t>Generar token de CAPI y configurar Vercel</t>
        </is>
      </c>
      <c r="D13" s="12" t="inlineStr">
        <is>
          <t>Generar el token en Administrador de eventos &gt; Conversions API. Configurar META_PIXEL_ID, META_CAPI_TOKEN y META_TEST_EVENT_CODE en Vercel &gt; Settings &gt; Environment Variables. Redeploy despues.</t>
        </is>
      </c>
      <c r="E13" s="12" t="inlineStr">
        <is>
          <t>Briant</t>
        </is>
      </c>
      <c r="F13" s="14" t="inlineStr">
        <is>
          <t>Alta</t>
        </is>
      </c>
      <c r="G13" s="12" t="inlineStr">
        <is>
          <t>En pausa</t>
        </is>
      </c>
      <c r="H13" s="12" t="inlineStr">
        <is>
          <t>El token es una credencial: lo pega Briant directo en Vercel, no pasa por el chat</t>
        </is>
      </c>
    </row>
    <row r="14" ht="58" customHeight="1">
      <c r="A14" s="10" t="inlineStr">
        <is>
          <t>AN-04</t>
        </is>
      </c>
      <c r="B14" s="10" t="inlineStr">
        <is>
          <t>Analitica</t>
        </is>
      </c>
      <c r="C14" s="10" t="inlineStr">
        <is>
          <t>Marcar generate_lead y select_item como conversion</t>
        </is>
      </c>
      <c r="D14" s="10" t="inlineStr">
        <is>
          <t>En GA4 &gt; Administrar &gt; Eventos, marcar generate_lead y select_item como conversion para que sirvan de objetivo.</t>
        </is>
      </c>
      <c r="E14" s="10" t="inlineStr">
        <is>
          <t>Briant</t>
        </is>
      </c>
      <c r="F14" s="10" t="inlineStr">
        <is>
          <t>Media</t>
        </is>
      </c>
      <c r="G14" s="10" t="inlineStr">
        <is>
          <t>En pausa</t>
        </is>
      </c>
      <c r="H14" s="10" t="inlineStr">
        <is>
          <t>Depende de AN-02</t>
        </is>
      </c>
    </row>
    <row r="15" ht="58" customHeight="1">
      <c r="A15" s="12" t="inlineStr">
        <is>
          <t>L-01</t>
        </is>
      </c>
      <c r="B15" s="12" t="inlineStr">
        <is>
          <t>Legal</t>
        </is>
      </c>
      <c r="C15" s="12" t="inlineStr">
        <is>
          <t>Aviso de privacidad · 6 puntos sin resolver</t>
        </is>
      </c>
      <c r="D15" s="12" t="inlineStr">
        <is>
          <t>Base legal del tratamiento, politica de cookies y consentimiento previo, transferencias internacionales, notificacion de brechas, procedimiento de derechos del titular y autoridad de control competente.</t>
        </is>
      </c>
      <c r="E15" s="12" t="inlineStr">
        <is>
          <t>Legal</t>
        </is>
      </c>
      <c r="F15" s="13" t="inlineStr">
        <is>
          <t>Bloqueante</t>
        </is>
      </c>
      <c r="G15" s="12" t="inlineStr">
        <is>
          <t>Bloqueado por terceros</t>
        </is>
      </c>
      <c r="H15" s="12" t="inlineStr">
        <is>
          <t>Detalle completo en PENDIENTES-LEGAL.md. El de cookies importa doble: la pagina ya carga Meta Pixel</t>
        </is>
      </c>
    </row>
    <row r="16" ht="58" customHeight="1">
      <c r="A16" s="10" t="inlineStr">
        <is>
          <t>L-02</t>
        </is>
      </c>
      <c r="B16" s="10" t="inlineStr">
        <is>
          <t>Legal</t>
        </is>
      </c>
      <c r="C16" s="10" t="inlineStr">
        <is>
          <t>Terminos del servicio · 6 puntos sin resolver</t>
        </is>
      </c>
      <c r="D16" s="10" t="inlineStr">
        <is>
          <t>Catalogo de definiciones, conductas prohibidas, propiedad intelectual y licencia, garantias y limitacion de responsabilidad, notificacion de cambios, y resolucion de controversias.</t>
        </is>
      </c>
      <c r="E16" s="10" t="inlineStr">
        <is>
          <t>Legal</t>
        </is>
      </c>
      <c r="F16" s="15" t="inlineStr">
        <is>
          <t>Bloqueante</t>
        </is>
      </c>
      <c r="G16" s="10" t="inlineStr">
        <is>
          <t>Bloqueado por terceros</t>
        </is>
      </c>
      <c r="H16" s="10" t="inlineStr">
        <is>
          <t>El de garantias es el de mayor exposicion: hoy no hay techo de responsabilidad</t>
        </is>
      </c>
    </row>
    <row r="17" ht="58" customHeight="1">
      <c r="A17" s="12" t="inlineStr">
        <is>
          <t>L-03</t>
        </is>
      </c>
      <c r="B17" s="12" t="inlineStr">
        <is>
          <t>Legal</t>
        </is>
      </c>
      <c r="C17" s="12" t="inlineStr">
        <is>
          <t>Niveles de servicio · 5 puntos sin resolver</t>
        </is>
      </c>
      <c r="D17" s="12" t="inlineStr">
        <is>
          <t>Tiempos de respuesta por confirmar con Soporte, ruta de escalamiento, objetivo de disponibilidad, RTO/RPO y copias, y creditos por incumplimiento.</t>
        </is>
      </c>
      <c r="E17" s="12" t="inlineStr">
        <is>
          <t>Soporte / Legal</t>
        </is>
      </c>
      <c r="F17" s="13" t="inlineStr">
        <is>
          <t>Bloqueante</t>
        </is>
      </c>
      <c r="G17" s="12" t="inlineStr">
        <is>
          <t>Bloqueado por terceros</t>
        </is>
      </c>
      <c r="H17" s="12" t="inlineStr">
        <is>
          <t>La tabla de tiempos ya esta publicada y es una promesa comercial</t>
        </is>
      </c>
    </row>
    <row r="18" ht="58" customHeight="1">
      <c r="A18" s="10" t="inlineStr">
        <is>
          <t>I-01</t>
        </is>
      </c>
      <c r="B18" s="10" t="inlineStr">
        <is>
          <t>Infraestructura</t>
        </is>
      </c>
      <c r="C18" s="10" t="inlineStr">
        <is>
          <t>Dominio definitivo</t>
        </is>
      </c>
      <c r="D18" s="10" t="inlineStr">
        <is>
          <t>Sin dominio propio no hay equity de SEO y resta credibilidad en un producto fiscal. Al confirmarlo hay que descomentar canonical y og:url en las 4 paginas.</t>
        </is>
      </c>
      <c r="E18" s="10" t="inlineStr">
        <is>
          <t>Duvan Rondo</t>
        </is>
      </c>
      <c r="F18" s="15" t="inlineStr">
        <is>
          <t>Bloqueante</t>
        </is>
      </c>
      <c r="G18" s="10" t="inlineStr">
        <is>
          <t>Bloqueado por terceros</t>
        </is>
      </c>
      <c r="H18" s="10" t="inlineStr">
        <is>
          <t>Estar en vercel.app resta credibilidad segun el propio brief</t>
        </is>
      </c>
    </row>
    <row r="19" ht="58" customHeight="1">
      <c r="A19" s="12" t="inlineStr">
        <is>
          <t>G-01</t>
        </is>
      </c>
      <c r="B19" s="12" t="inlineStr">
        <is>
          <t>Gestion</t>
        </is>
      </c>
      <c r="C19" s="12" t="inlineStr">
        <is>
          <t>Revision de Rafael sobre los datos difuminados</t>
        </is>
      </c>
      <c r="D19" s="12" t="inlineStr">
        <is>
          <t>En los assets 03 y 04 se enmascaran identificadores en vez de regrabar con datos demo. En el 03 quedan legibles la direccion del proveedor y el UUID del archivo JSON. En el 04 van cifras reales de Consiti.</t>
        </is>
      </c>
      <c r="E19" s="12" t="inlineStr">
        <is>
          <t>Rafael Henriquez</t>
        </is>
      </c>
      <c r="F19" s="14" t="inlineStr">
        <is>
          <t>Alta</t>
        </is>
      </c>
      <c r="G19" s="12" t="inlineStr">
        <is>
          <t>Pendiente</t>
        </is>
      </c>
      <c r="H19" s="12" t="inlineStr">
        <is>
          <t>Briant lo aprobo el 10/08 sujeto a que Rafael no observe</t>
        </is>
      </c>
    </row>
    <row r="20" ht="58" customHeight="1">
      <c r="A20" s="10" t="inlineStr">
        <is>
          <t>G-02</t>
        </is>
      </c>
      <c r="B20" s="10" t="inlineStr">
        <is>
          <t>Gestion</t>
        </is>
      </c>
      <c r="C20" s="10" t="inlineStr">
        <is>
          <t>Correo de entrega de avances a Rafael</t>
        </is>
      </c>
      <c r="D20" s="10" t="inlineStr">
        <is>
          <t>Informe del estado del proyecto con lo entregado, lo que falta y quien lo debe destrabar.</t>
        </is>
      </c>
      <c r="E20" s="10" t="inlineStr">
        <is>
          <t>Briant</t>
        </is>
      </c>
      <c r="F20" s="11" t="inlineStr">
        <is>
          <t>Alta</t>
        </is>
      </c>
      <c r="G20" s="10" t="inlineStr">
        <is>
          <t>Pendiente</t>
        </is>
      </c>
      <c r="H20" s="10" t="inlineStr">
        <is>
          <t>Usar la hoja Avances como base</t>
        </is>
      </c>
    </row>
    <row r="21" ht="58" customHeight="1">
      <c r="A21" s="12" t="inlineStr">
        <is>
          <t>G-03</t>
        </is>
      </c>
      <c r="B21" s="12" t="inlineStr">
        <is>
          <t>Gestion</t>
        </is>
      </c>
      <c r="C21" s="12" t="inlineStr">
        <is>
          <t>Guion para pedir testimonios por WhatsApp</t>
        </is>
      </c>
      <c r="D21" s="12" t="inlineStr">
        <is>
          <t>Tres preguntas para pedirle el testimonio a los clientes que migraron desde otro proveedor, mas el texto del consentimiento por escrito.</t>
        </is>
      </c>
      <c r="E21" s="12" t="inlineStr">
        <is>
          <t>Comercial</t>
        </is>
      </c>
      <c r="F21" s="14" t="inlineStr">
        <is>
          <t>Alta</t>
        </is>
      </c>
      <c r="G21" s="12" t="inlineStr">
        <is>
          <t>Pendiente</t>
        </is>
      </c>
      <c r="H21" s="12" t="inlineStr">
        <is>
          <t>Es lo que destraba A-07, A-08 y A-09</t>
        </is>
      </c>
    </row>
  </sheetData>
  <autoFilter ref="A1:H21"/>
  <dataValidations count="1">
    <dataValidation sqref="G2:G80" showDropDown="0" showInputMessage="0" showErrorMessage="0" allowBlank="1" type="list">
      <formula1>"Pendiente,En pausa,Bloqueado por terceros,Hecho"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6" customWidth="1" min="4" max="4"/>
    <col width="82" customWidth="1" min="5" max="5"/>
  </cols>
  <sheetData>
    <row r="1" ht="28" customHeight="1">
      <c r="A1" s="9" t="inlineStr">
        <is>
          <t>#</t>
        </is>
      </c>
      <c r="B1" s="9" t="inlineStr">
        <is>
          <t>Asset</t>
        </is>
      </c>
      <c r="C1" s="9" t="inlineStr">
        <is>
          <t>Prioridad segun el brief</t>
        </is>
      </c>
      <c r="D1" s="9" t="inlineStr">
        <is>
          <t>Estado</t>
        </is>
      </c>
      <c r="E1" s="9" t="inlineStr">
        <is>
          <t>Que quedo</t>
        </is>
      </c>
    </row>
    <row r="2" ht="42" customHeight="1">
      <c r="A2" s="10" t="inlineStr">
        <is>
          <t>01</t>
        </is>
      </c>
      <c r="B2" s="10" t="inlineStr">
        <is>
          <t>Captura de emision en el hero</t>
        </is>
      </c>
      <c r="C2" s="10" t="inlineStr">
        <is>
          <t>Maxima</t>
        </is>
      </c>
      <c r="D2" s="10" t="inlineStr">
        <is>
          <t>Entregado</t>
        </is>
      </c>
      <c r="E2" s="10" t="inlineStr">
        <is>
          <t>assets/factura-emitida.webp. Captura real de una factura emitida.</t>
        </is>
      </c>
    </row>
    <row r="3" ht="42" customHeight="1">
      <c r="A3" s="12" t="inlineStr">
        <is>
          <t>02</t>
        </is>
      </c>
      <c r="B3" s="12" t="inlineStr">
        <is>
          <t>Video emitiendo una factura</t>
        </is>
      </c>
      <c r="C3" s="12" t="inlineStr">
        <is>
          <t>Maxima</t>
        </is>
      </c>
      <c r="D3" s="12" t="inlineStr">
        <is>
          <t>Entregado</t>
        </is>
      </c>
      <c r="E3" s="12" t="inlineStr">
        <is>
          <t>29 s, 1600x1200, MP4 1.3 MB y WebM 901 KB, con poster. Sin subtitulos por decision de Briant.</t>
        </is>
      </c>
    </row>
    <row r="4" ht="42" customHeight="1">
      <c r="A4" s="10" t="inlineStr">
        <is>
          <t>03</t>
        </is>
      </c>
      <c r="B4" s="10" t="inlineStr">
        <is>
          <t>Carga de compras con IA</t>
        </is>
      </c>
      <c r="C4" s="10" t="inlineStr">
        <is>
          <t>Alta</t>
        </is>
      </c>
      <c r="D4" s="10" t="inlineStr">
        <is>
          <t>Entregado</t>
        </is>
      </c>
      <c r="E4" s="10" t="inlineStr">
        <is>
          <t>19 s, 1600x900. Enmascarados nombre, sello y UUID. Quedan legibles la direccion del proveedor y el UUID del archivo JSON.</t>
        </is>
      </c>
    </row>
    <row r="5" ht="42" customHeight="1">
      <c r="A5" s="12" t="inlineStr">
        <is>
          <t>04</t>
        </is>
      </c>
      <c r="B5" s="12" t="inlineStr">
        <is>
          <t>Anexos de IVA y libros</t>
        </is>
      </c>
      <c r="C5" s="12" t="inlineStr">
        <is>
          <t>Alta</t>
        </is>
      </c>
      <c r="D5" s="12" t="inlineStr">
        <is>
          <t>Entregado</t>
        </is>
      </c>
      <c r="E5" s="12" t="inlineStr">
        <is>
          <t>33 s, 1280x720. Une el formulario del Libro Consumidor con el PDF resultante y sus columnas. Cifras reales de Consiti.</t>
        </is>
      </c>
    </row>
    <row r="6" ht="42" customHeight="1">
      <c r="A6" s="10" t="inlineStr">
        <is>
          <t>05</t>
        </is>
      </c>
      <c r="B6" s="10" t="inlineStr">
        <is>
          <t>Mockup de la vista movil</t>
        </is>
      </c>
      <c r="C6" s="10" t="inlineStr">
        <is>
          <t>Media</t>
        </is>
      </c>
      <c r="D6" s="10" t="inlineStr">
        <is>
          <t>Entregado</t>
        </is>
      </c>
      <c r="E6" s="10" t="inlineStr">
        <is>
          <t>PNG con alfa convertido a WebP: de 1.9 MB a 23 KB. La pantalla muestra una factura en blanco.</t>
        </is>
      </c>
    </row>
    <row r="7" ht="42" customHeight="1">
      <c r="A7" s="12" t="inlineStr">
        <is>
          <t>06</t>
        </is>
      </c>
      <c r="B7" s="12" t="inlineStr">
        <is>
          <t>Selector multi-empresa</t>
        </is>
      </c>
      <c r="C7" s="12" t="inlineStr">
        <is>
          <t>Alta</t>
        </is>
      </c>
      <c r="D7" s="12" t="inlineStr">
        <is>
          <t>Pendiente</t>
        </is>
      </c>
      <c r="E7" s="12" t="inlineStr">
        <is>
          <t>La funcion existe, confirmado el 10/08. Aplica el asset normal.</t>
        </is>
      </c>
    </row>
    <row r="8" ht="42" customHeight="1">
      <c r="A8" s="10" t="inlineStr">
        <is>
          <t>07</t>
        </is>
      </c>
      <c r="B8" s="10" t="inlineStr">
        <is>
          <t>Testimonio de quien migro</t>
        </is>
      </c>
      <c r="C8" s="10" t="inlineStr">
        <is>
          <t>Maxima</t>
        </is>
      </c>
      <c r="D8" s="10" t="inlineStr">
        <is>
          <t>Pendiente</t>
        </is>
      </c>
      <c r="E8" s="10" t="inlineStr">
        <is>
          <t>Seccion retirada de la pagina el 10/08 aplicando la regla del brief: con cero firmados se borra completa.</t>
        </is>
      </c>
    </row>
    <row r="9" ht="42" customHeight="1">
      <c r="A9" s="12" t="inlineStr">
        <is>
          <t>08</t>
        </is>
      </c>
      <c r="B9" s="12" t="inlineStr">
        <is>
          <t>Testimonio de contador</t>
        </is>
      </c>
      <c r="C9" s="12" t="inlineStr">
        <is>
          <t>Alta</t>
        </is>
      </c>
      <c r="D9" s="12" t="inlineStr">
        <is>
          <t>Pendiente</t>
        </is>
      </c>
      <c r="E9" s="12" t="inlineStr">
        <is>
          <t>Idem 07.</t>
        </is>
      </c>
    </row>
    <row r="10" ht="42" customHeight="1">
      <c r="A10" s="10" t="inlineStr">
        <is>
          <t>09</t>
        </is>
      </c>
      <c r="B10" s="10" t="inlineStr">
        <is>
          <t>Testimonio de dueno de PyME</t>
        </is>
      </c>
      <c r="C10" s="10" t="inlineStr">
        <is>
          <t>Media</t>
        </is>
      </c>
      <c r="D10" s="10" t="inlineStr">
        <is>
          <t>Pendiente</t>
        </is>
      </c>
      <c r="E10" s="10" t="inlineStr">
        <is>
          <t>Idem 07.</t>
        </is>
      </c>
    </row>
    <row r="11" ht="42" customHeight="1">
      <c r="A11" s="12" t="inlineStr">
        <is>
          <t>--</t>
        </is>
      </c>
      <c r="B11" s="12" t="inlineStr">
        <is>
          <t>og:image 1200x630</t>
        </is>
      </c>
      <c r="C11" s="12" t="inlineStr">
        <is>
          <t>Media</t>
        </is>
      </c>
      <c r="D11" s="12" t="inlineStr">
        <is>
          <t>Pendiente</t>
        </is>
      </c>
      <c r="E11" s="12" t="inlineStr">
        <is>
          <t>Referenciado en el head pero el archivo no existe. Compartir el enlace no muestra vista previa.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86" customWidth="1" min="3" max="3"/>
    <col width="20" customWidth="1" min="4" max="4"/>
  </cols>
  <sheetData>
    <row r="1" ht="28" customHeight="1">
      <c r="A1" s="9" t="inlineStr">
        <is>
          <t>Pagina</t>
        </is>
      </c>
      <c r="B1" s="9" t="inlineStr">
        <is>
          <t>Seccion</t>
        </is>
      </c>
      <c r="C1" s="9" t="inlineStr">
        <is>
          <t>Que falta definir</t>
        </is>
      </c>
      <c r="D1" s="9" t="inlineStr">
        <is>
          <t>Responsable</t>
        </is>
      </c>
    </row>
    <row r="2" ht="40" customHeight="1">
      <c r="A2" s="10" t="inlineStr">
        <is>
          <t>privacidad.html</t>
        </is>
      </c>
      <c r="B2" s="10" t="inlineStr">
        <is>
          <t>4 · Base legal del tratamiento</t>
        </is>
      </c>
      <c r="C2" s="10" t="inlineStr">
        <is>
          <t>Ajustar las bases de legitimacion a la legislacion salvadorena de proteccion de datos personales vigente.</t>
        </is>
      </c>
      <c r="D2" s="10" t="inlineStr">
        <is>
          <t>Legal</t>
        </is>
      </c>
    </row>
    <row r="3" ht="40" customHeight="1">
      <c r="A3" s="12" t="inlineStr">
        <is>
          <t>privacidad.html</t>
        </is>
      </c>
      <c r="B3" s="12" t="inlineStr">
        <is>
          <t>5 · Cookies y tecnologias de seguimiento</t>
        </is>
      </c>
      <c r="C3" s="12" t="inlineStr">
        <is>
          <t>Desarrollar la politica de cookies (tipos, finalidad, duracion) y el mecanismo de consentimiento previo, en coordinacion con Marketing.</t>
        </is>
      </c>
      <c r="D3" s="12" t="inlineStr">
        <is>
          <t>Legal / Marketing</t>
        </is>
      </c>
    </row>
    <row r="4" ht="40" customHeight="1">
      <c r="A4" s="10" t="inlineStr">
        <is>
          <t>privacidad.html</t>
        </is>
      </c>
      <c r="B4" s="10" t="inlineStr">
        <is>
          <t>7 · Transferencias internacionales</t>
        </is>
      </c>
      <c r="C4" s="10" t="inlineStr">
        <is>
          <t>Precisar las salvaguardas aplicables a las transferencias internacionales de datos.</t>
        </is>
      </c>
      <c r="D4" s="10" t="inlineStr">
        <is>
          <t>Legal</t>
        </is>
      </c>
    </row>
    <row r="5" ht="40" customHeight="1">
      <c r="A5" s="12" t="inlineStr">
        <is>
          <t>privacidad.html</t>
        </is>
      </c>
      <c r="B5" s="12" t="inlineStr">
        <is>
          <t>9 · Incidentes de seguridad</t>
        </is>
      </c>
      <c r="C5" s="12" t="inlineStr">
        <is>
          <t>Definir el procedimiento y los plazos de notificacion de brechas conforme a la normativa aplicable.</t>
        </is>
      </c>
      <c r="D5" s="12" t="inlineStr">
        <is>
          <t>Legal</t>
        </is>
      </c>
    </row>
    <row r="6" ht="40" customHeight="1">
      <c r="A6" s="10" t="inlineStr">
        <is>
          <t>privacidad.html</t>
        </is>
      </c>
      <c r="B6" s="10" t="inlineStr">
        <is>
          <t>14 · Derechos del titular</t>
        </is>
      </c>
      <c r="C6" s="10" t="inlineStr">
        <is>
          <t>Detallar el procedimiento para ejercer los derechos, la identificacion requerida y el plazo de respuesta.</t>
        </is>
      </c>
      <c r="D6" s="10" t="inlineStr">
        <is>
          <t>Legal</t>
        </is>
      </c>
    </row>
    <row r="7" ht="40" customHeight="1">
      <c r="A7" s="12" t="inlineStr">
        <is>
          <t>privacidad.html</t>
        </is>
      </c>
      <c r="B7" s="12" t="inlineStr">
        <is>
          <t>15 · Reclamaciones ante la autoridad</t>
        </is>
      </c>
      <c r="C7" s="12" t="inlineStr">
        <is>
          <t>Indicar la autoridad de control competente en El Salvador y la via de contacto.</t>
        </is>
      </c>
      <c r="D7" s="12" t="inlineStr">
        <is>
          <t>Legal</t>
        </is>
      </c>
    </row>
    <row r="8" ht="40" customHeight="1">
      <c r="A8" s="10" t="inlineStr">
        <is>
          <t>terminos.html</t>
        </is>
      </c>
      <c r="B8" s="10" t="inlineStr">
        <is>
          <t>2 · Definiciones</t>
        </is>
      </c>
      <c r="C8" s="10" t="inlineStr">
        <is>
          <t>Revisar y ampliar el catalogo de terminos definidos que se usan a lo largo del documento.</t>
        </is>
      </c>
      <c r="D8" s="10" t="inlineStr">
        <is>
          <t>Legal</t>
        </is>
      </c>
    </row>
    <row r="9" ht="40" customHeight="1">
      <c r="A9" s="12" t="inlineStr">
        <is>
          <t>terminos.html</t>
        </is>
      </c>
      <c r="B9" s="12" t="inlineStr">
        <is>
          <t>6 · Uso aceptable del servicio</t>
        </is>
      </c>
      <c r="C9" s="12" t="inlineStr">
        <is>
          <t>Ampliar las conductas prohibidas y las consecuencias por incumplimiento.</t>
        </is>
      </c>
      <c r="D9" s="12" t="inlineStr">
        <is>
          <t>Legal</t>
        </is>
      </c>
    </row>
    <row r="10" ht="40" customHeight="1">
      <c r="A10" s="10" t="inlineStr">
        <is>
          <t>terminos.html</t>
        </is>
      </c>
      <c r="B10" s="10" t="inlineStr">
        <is>
          <t>13 · Propiedad intelectual y licencia</t>
        </is>
      </c>
      <c r="C10" s="10" t="inlineStr">
        <is>
          <t>Precisar alcance y restricciones de la licencia, titularidad de personalizaciones y propiedad intelectual de terceros.</t>
        </is>
      </c>
      <c r="D10" s="10" t="inlineStr">
        <is>
          <t>Legal</t>
        </is>
      </c>
    </row>
    <row r="11" ht="40" customHeight="1">
      <c r="A11" s="12" t="inlineStr">
        <is>
          <t>terminos.html</t>
        </is>
      </c>
      <c r="B11" s="12" t="inlineStr">
        <is>
          <t>17 · Garantias y limitacion de responsabilidad</t>
        </is>
      </c>
      <c r="C11" s="12" t="inlineStr">
        <is>
          <t>Definir alcance de garantias, exenciones, limites de responsabilidad e indemnizacion conforme a la ley salvadorena.</t>
        </is>
      </c>
      <c r="D11" s="12" t="inlineStr">
        <is>
          <t>Legal</t>
        </is>
      </c>
    </row>
    <row r="12" ht="40" customHeight="1">
      <c r="A12" s="10" t="inlineStr">
        <is>
          <t>terminos.html</t>
        </is>
      </c>
      <c r="B12" s="10" t="inlineStr">
        <is>
          <t>21 · Modificaciones a los terminos</t>
        </is>
      </c>
      <c r="C12" s="10" t="inlineStr">
        <is>
          <t>Definir el mecanismo y la antelacion de notificacion de cambios sustanciales.</t>
        </is>
      </c>
      <c r="D12" s="10" t="inlineStr">
        <is>
          <t>Legal</t>
        </is>
      </c>
    </row>
    <row r="13" ht="40" customHeight="1">
      <c r="A13" s="12" t="inlineStr">
        <is>
          <t>terminos.html</t>
        </is>
      </c>
      <c r="B13" s="12" t="inlineStr">
        <is>
          <t>23 · Legislacion y jurisdiccion</t>
        </is>
      </c>
      <c r="C13" s="12" t="inlineStr">
        <is>
          <t>Definir el mecanismo de resolucion de controversias (tribunales o arbitraje) y la sede.</t>
        </is>
      </c>
      <c r="D13" s="12" t="inlineStr">
        <is>
          <t>Legal</t>
        </is>
      </c>
    </row>
    <row r="14" ht="40" customHeight="1">
      <c r="A14" s="10" t="inlineStr">
        <is>
          <t>sla.html</t>
        </is>
      </c>
      <c r="B14" s="10" t="inlineStr">
        <is>
          <t>2 · Niveles de prioridad y tiempo de respuesta</t>
        </is>
      </c>
      <c r="C14" s="10" t="inlineStr">
        <is>
          <t>Los tiempos de la tabla son una propuesta basada en el estandar de la industria. Ajustar a la capacidad real del equipo.</t>
        </is>
      </c>
      <c r="D14" s="10" t="inlineStr">
        <is>
          <t>Rafael / Soporte</t>
        </is>
      </c>
    </row>
    <row r="15" ht="40" customHeight="1">
      <c r="A15" s="12" t="inlineStr">
        <is>
          <t>sla.html</t>
        </is>
      </c>
      <c r="B15" s="12" t="inlineStr">
        <is>
          <t>6 · Escalamiento</t>
        </is>
      </c>
      <c r="C15" s="12" t="inlineStr">
        <is>
          <t>Definir la ruta y los responsables de escalamiento.</t>
        </is>
      </c>
      <c r="D15" s="12" t="inlineStr">
        <is>
          <t>Soporte</t>
        </is>
      </c>
    </row>
    <row r="16" ht="40" customHeight="1">
      <c r="A16" s="10" t="inlineStr">
        <is>
          <t>sla.html</t>
        </is>
      </c>
      <c r="B16" s="10" t="inlineStr">
        <is>
          <t>7 · Disponibilidad y mantenimiento</t>
        </is>
      </c>
      <c r="C16" s="10" t="inlineStr">
        <is>
          <t>Definir, si aplica, el objetivo de disponibilidad y la politica de ventanas de mantenimiento.</t>
        </is>
      </c>
      <c r="D16" s="10" t="inlineStr">
        <is>
          <t>Legal</t>
        </is>
      </c>
    </row>
    <row r="17" ht="40" customHeight="1">
      <c r="A17" s="12" t="inlineStr">
        <is>
          <t>sla.html</t>
        </is>
      </c>
      <c r="B17" s="12" t="inlineStr">
        <is>
          <t>12 · Copias de seguridad y recuperacion</t>
        </is>
      </c>
      <c r="C17" s="12" t="inlineStr">
        <is>
          <t>Definir los objetivos de recuperacion (RTO/RPO) y la frecuencia de las copias.</t>
        </is>
      </c>
      <c r="D17" s="12" t="inlineStr">
        <is>
          <t>Soporte / Legal</t>
        </is>
      </c>
    </row>
    <row r="18" ht="40" customHeight="1">
      <c r="A18" s="10" t="inlineStr">
        <is>
          <t>sla.html</t>
        </is>
      </c>
      <c r="B18" s="10" t="inlineStr">
        <is>
          <t>16 · Creditos por incumplimiento</t>
        </is>
      </c>
      <c r="C18" s="10" t="inlineStr">
        <is>
          <t>Definir si existiran creditos o compensaciones, su calculo y la forma de solicitarlos.</t>
        </is>
      </c>
      <c r="D18" s="10" t="inlineStr">
        <is>
          <t>Legal / Finanzas</t>
        </is>
      </c>
    </row>
  </sheetData>
  <autoFilter ref="A1:D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52" customWidth="1" min="3" max="3"/>
    <col width="88" customWidth="1" min="4" max="4"/>
  </cols>
  <sheetData>
    <row r="1" ht="28" customHeight="1">
      <c r="A1" s="9" t="inlineStr">
        <is>
          <t>Fecha</t>
        </is>
      </c>
      <c r="B1" s="9" t="inlineStr">
        <is>
          <t>Commit</t>
        </is>
      </c>
      <c r="C1" s="9" t="inlineStr">
        <is>
          <t>Entregable</t>
        </is>
      </c>
      <c r="D1" s="9" t="inlineStr">
        <is>
          <t>Detalle</t>
        </is>
      </c>
    </row>
    <row r="2" ht="34" customHeight="1">
      <c r="A2" s="10" t="inlineStr">
        <is>
          <t>2026-08-10</t>
        </is>
      </c>
      <c r="B2" s="10" t="inlineStr">
        <is>
          <t>ef0a822</t>
        </is>
      </c>
      <c r="C2" s="10" t="inlineStr">
        <is>
          <t>Asset 01 · captura del hero</t>
        </is>
      </c>
      <c r="D2" s="10" t="inlineStr">
        <is>
          <t>Captura real de una factura emitida, en el primer metro cuadrado de la pagina.</t>
        </is>
      </c>
    </row>
    <row r="3" ht="34" customHeight="1">
      <c r="A3" s="12" t="inlineStr">
        <is>
          <t>2026-08-10</t>
        </is>
      </c>
      <c r="B3" s="12" t="inlineStr">
        <is>
          <t>f2dac76</t>
        </is>
      </c>
      <c r="C3" s="12" t="inlineStr">
        <is>
          <t>Asset 02 · video de emision</t>
        </is>
      </c>
      <c r="D3" s="12" t="inlineStr">
        <is>
          <t>Reemplaza el placeholder por la grabacion real. MP4 + WebM + poster, en bucle silencioso.</t>
        </is>
      </c>
    </row>
    <row r="4" ht="34" customHeight="1">
      <c r="A4" s="10" t="inlineStr">
        <is>
          <t>2026-08-10</t>
        </is>
      </c>
      <c r="B4" s="10" t="inlineStr">
        <is>
          <t>64c9f08</t>
        </is>
      </c>
      <c r="C4" s="10" t="inlineStr">
        <is>
          <t>Correccion del borde del video</t>
        </is>
      </c>
      <c r="D4" s="10" t="inlineStr">
        <is>
          <t>El export traia una franja negra quemada de 10 a 15 px. Se recorto sin alterar la proporcion.</t>
        </is>
      </c>
    </row>
    <row r="5" ht="34" customHeight="1">
      <c r="A5" s="12" t="inlineStr">
        <is>
          <t>2026-08-10</t>
        </is>
      </c>
      <c r="B5" s="12" t="inlineStr">
        <is>
          <t>776ccb8</t>
        </is>
      </c>
      <c r="C5" s="12" t="inlineStr">
        <is>
          <t>Correccion de colision de clase CSS</t>
        </is>
      </c>
      <c r="D5" s="12" t="inlineStr">
        <is>
          <t>El video usaba la clase .demo, que ya era una insignia naranja. Le imponia fondo, borde y mayusculas al pie de foto.</t>
        </is>
      </c>
    </row>
    <row r="6" ht="34" customHeight="1">
      <c r="A6" s="10" t="inlineStr">
        <is>
          <t>2026-08-10</t>
        </is>
      </c>
      <c r="B6" s="10" t="inlineStr">
        <is>
          <t>5a5467b</t>
        </is>
      </c>
      <c r="C6" s="10" t="inlineStr">
        <is>
          <t>Retiro de 32 marcadores internos visibles</t>
        </is>
      </c>
      <c r="D6" s="10" t="inlineStr">
        <is>
          <t>Las paginas legales mostraban al publico 17 recuadros y 15 insignias con texto interno del tipo 'Por completar por Legal'.</t>
        </is>
      </c>
    </row>
    <row r="7" ht="34" customHeight="1">
      <c r="A7" s="12" t="inlineStr">
        <is>
          <t>2026-08-10</t>
        </is>
      </c>
      <c r="B7" s="12" t="inlineStr">
        <is>
          <t>f3be68c</t>
        </is>
      </c>
      <c r="C7" s="12" t="inlineStr">
        <is>
          <t>Asset 03 · carga de compras con IA</t>
        </is>
      </c>
      <c r="D7" s="12" t="inlineStr">
        <is>
          <t>Video con nombre, sello y UUID del proveedor enmascarados.</t>
        </is>
      </c>
    </row>
    <row r="8" ht="34" customHeight="1">
      <c r="A8" s="10" t="inlineStr">
        <is>
          <t>2026-08-10</t>
        </is>
      </c>
      <c r="B8" s="10" t="inlineStr">
        <is>
          <t>c0daa37</t>
        </is>
      </c>
      <c r="C8" s="10" t="inlineStr">
        <is>
          <t>Asset 04 · anexos de IVA y libros</t>
        </is>
      </c>
      <c r="D8" s="10" t="inlineStr">
        <is>
          <t>Une la descarga del Libro Consumidor con el PDF resultante y sus columnas.</t>
        </is>
      </c>
    </row>
    <row r="9" ht="34" customHeight="1">
      <c r="A9" s="12" t="inlineStr">
        <is>
          <t>2026-08-10</t>
        </is>
      </c>
      <c r="B9" s="12" t="inlineStr">
        <is>
          <t>cc9031e</t>
        </is>
      </c>
      <c r="C9" s="12" t="inlineStr">
        <is>
          <t>Asset 05 · mockup movil</t>
        </is>
      </c>
      <c r="D9" s="12" t="inlineStr">
        <is>
          <t>PNG con transparencia optimizado de 1.9 MB a 23 KB.</t>
        </is>
      </c>
    </row>
    <row r="10" ht="34" customHeight="1">
      <c r="A10" s="10" t="inlineStr">
        <is>
          <t>2026-08-10</t>
        </is>
      </c>
      <c r="B10" s="10" t="inlineStr">
        <is>
          <t>ec8e585</t>
        </is>
      </c>
      <c r="C10" s="10" t="inlineStr">
        <is>
          <t>Cierre de los 4 datos que bloqueaban</t>
        </is>
      </c>
      <c r="D10" s="10" t="inlineStr">
        <is>
          <t>Multi-empresa y horario de soporte confirmados. Referidos y precio de excedente resueltos por eliminacion.</t>
        </is>
      </c>
    </row>
    <row r="11" ht="34" customHeight="1">
      <c r="A11" s="12" t="inlineStr">
        <is>
          <t>2026-08-10</t>
        </is>
      </c>
      <c r="B11" s="12" t="inlineStr">
        <is>
          <t>b649a02</t>
        </is>
      </c>
      <c r="C11" s="12" t="inlineStr">
        <is>
          <t>Retiro de la seccion de testimonios</t>
        </is>
      </c>
      <c r="D11" s="12" t="inlineStr">
        <is>
          <t>Se aplica la regla del brief: con cero testimonios firmados, se borra la seccion completa.</t>
        </is>
      </c>
    </row>
    <row r="12" ht="34" customHeight="1">
      <c r="A12" s="10" t="inlineStr">
        <is>
          <t>2026-08-10</t>
        </is>
      </c>
      <c r="B12" s="10" t="inlineStr">
        <is>
          <t>9f0f58a</t>
        </is>
      </c>
      <c r="C12" s="10" t="inlineStr">
        <is>
          <t>Instalacion de Google Analytics 4</t>
        </is>
      </c>
      <c r="D12" s="10" t="inlineStr">
        <is>
          <t>gtag.js con generate_lead, view_item_list y select_item. Falta pegar el Measurement ID.</t>
        </is>
      </c>
    </row>
    <row r="14">
      <c r="A14" s="3" t="inlineStr">
        <is>
          <t>Resumen del periodo</t>
        </is>
      </c>
    </row>
    <row r="15">
      <c r="A15" s="2" t="inlineStr">
        <is>
          <t>5 de los 9 assets del brief entregados: 01, 02, 03, 04 y 05.</t>
        </is>
      </c>
    </row>
    <row r="16">
      <c r="A16" s="2" t="inlineStr">
        <is>
          <t>Los dos assets que el deck marcaba como bloqueantes de lanzamiento, el 01 y el 02, estan listos.</t>
        </is>
      </c>
    </row>
    <row r="17">
      <c r="A17" s="2" t="inlineStr">
        <is>
          <t>Se corrigieron dos defectos que nadie habia reportado: 32 marcadores internos visibles al publico</t>
        </is>
      </c>
    </row>
    <row r="18">
      <c r="A18" s="2" t="inlineStr">
        <is>
          <t>en las paginas legales, y una colision de clase CSS que deformaba el video de la demo.</t>
        </is>
      </c>
    </row>
    <row r="19">
      <c r="A19" s="2" t="inlineStr">
        <is>
          <t>Se instalo Google Analytics 4, que no existia. Meta ya tenia Pixel y Conversions API con</t>
        </is>
      </c>
    </row>
    <row r="20">
      <c r="A20" s="2" t="inlineStr">
        <is>
          <t>deduplicacion por event_id, bien implementados.</t>
        </is>
      </c>
    </row>
    <row r="21">
      <c r="A21" s="2" t="inlineStr"/>
    </row>
    <row r="22">
      <c r="A22" s="2" t="inlineStr">
        <is>
          <t>Lo que falta para publicar ya no es diseno ni codigo: es el testimonio del asset 07, que depende</t>
        </is>
      </c>
    </row>
    <row r="23">
      <c r="A23" s="2" t="inlineStr">
        <is>
          <t>de conseguir un consentimiento firmado, y el contenido legal.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2026-08-10T20:37:22Z</dcterms:created>
  <dcterms:modified xmlns:dcterms="http://purl.org/dc/terms/" xmlns:xsi="http://www.w3.org/2001/XMLSchema-instance" xsi:type="dcterms:W3CDTF">2026-08-10T20:37:22Z</dcterms:modified>
</cp:coreProperties>
</file>